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<sst xmlns="http://schemas.openxmlformats.org/spreadsheetml/2006/main" count="32" uniqueCount="28">
  <si>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Monthly Budget</t>
  </si>
  <si>
    <t xml:space="preserve">Edit only the blue cells (yellow fill). Everything else calculates automatically. Amounts below are example values - replace with your own.</t>
  </si>
  <si>
    <t xml:space="preserve">INCOME</t>
  </si>
  <si>
    <t xml:space="preserve">Budgeted</t>
  </si>
  <si>
    <t xml:space="preserve">Actual</t>
  </si>
  <si>
    <t xml:space="preserve">Difference</t>
  </si>
  <si>
    <t xml:space="preserve">Paycheck</t>
  </si>
  <si>
    <t xml:space="preserve">Side income</t>
  </si>
  <si>
    <t xml:space="preserve">Other</t>
  </si>
  <si>
    <t xml:space="preserve">Total Income</t>
  </si>
  <si>
    <t xml:space="preserve">EXPENSES</t>
  </si>
  <si>
    <t xml:space="preserve">Rent / Mortgage</t>
  </si>
  <si>
    <t xml:space="preserve">Utilities</t>
  </si>
  <si>
    <t xml:space="preserve">Groceries</t>
  </si>
  <si>
    <t xml:space="preserve">Transportation</t>
  </si>
  <si>
    <t xml:space="preserve">Insurance</t>
  </si>
  <si>
    <t xml:space="preserve">Phone / Internet</t>
  </si>
  <si>
    <t xml:space="preserve">Dining out</t>
  </si>
  <si>
    <t xml:space="preserve">Entertainment</t>
  </si>
  <si>
    <t xml:space="preserve">Subscriptions</t>
  </si>
  <si>
    <t xml:space="preserve">Health</t>
  </si>
  <si>
    <t xml:space="preserve">Savings</t>
  </si>
  <si>
    <t xml:space="preserve">Debt payments</t>
  </si>
  <si>
    <t xml:space="preserve">Total Expenses</t>
  </si>
  <si>
    <t xml:space="preserve">LEFT OVER (Income - Expenses)</t>
  </si>
  <si>
    <t xml:space="preserve">Savings rate (actual)</t>
  </si>
  <si>
    <t xml:space="preserve">Status</t>
  </si>
  <si>
    <t xml:space="preserve">Notes: Expense Difference = Budgeted - Actual (positive = under budget, negative = overspent). Income Difference = Actual - Budgeted. Add rows inside a list and extend the SUM ranges.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</si>
</sst>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DDEB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Budgeted vs Actual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Budget!B10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Budget!$A$11:$A$23</c:f>
              <c:strCache>
                <c:ptCount val="13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Phone / Internet</c:v>
                </c:pt>
                <c:pt idx="6">
                  <c:v>Dining out</c:v>
                </c:pt>
                <c:pt idx="7">
                  <c:v>Entertainment</c:v>
                </c:pt>
                <c:pt idx="8">
                  <c:v>Subscriptions</c:v>
                </c:pt>
                <c:pt idx="9">
                  <c:v>Health</c:v>
                </c:pt>
                <c:pt idx="10">
                  <c:v>Savings</c:v>
                </c:pt>
                <c:pt idx="11">
                  <c:v>Debt payments</c:v>
                </c:pt>
                <c:pt idx="12">
                  <c:v>Other</c:v>
                </c:pt>
              </c:strCache>
            </c:strRef>
          </c:cat>
          <c:val>
            <c:numRef>
              <c:f>Budget!$B$11:$B$23</c:f>
              <c:numCache>
                <c:formatCode>\$#,##0.00;"($"#,##0.00\);\-</c:formatCode>
                <c:ptCount val="13"/>
                <c:pt idx="0">
                  <c:v>1200</c:v>
                </c:pt>
                <c:pt idx="1">
                  <c:v>150</c:v>
                </c:pt>
                <c:pt idx="2">
                  <c:v>400</c:v>
                </c:pt>
                <c:pt idx="3">
                  <c:v>150</c:v>
                </c:pt>
                <c:pt idx="4">
                  <c:v>120</c:v>
                </c:pt>
                <c:pt idx="5">
                  <c:v>90</c:v>
                </c:pt>
                <c:pt idx="6">
                  <c:v>150</c:v>
                </c:pt>
                <c:pt idx="7">
                  <c:v>100</c:v>
                </c:pt>
                <c:pt idx="8">
                  <c:v>40</c:v>
                </c:pt>
                <c:pt idx="9">
                  <c:v>60</c:v>
                </c:pt>
                <c:pt idx="10">
                  <c:v>400</c:v>
                </c:pt>
                <c:pt idx="11">
                  <c:v>200</c:v>
                </c:pt>
                <c:pt idx="12">
                  <c:v>100</c:v>
                </c:pt>
              </c:numCache>
            </c:numRef>
          </c:val>
        </c:ser>
        <c:ser>
          <c:idx val="1"/>
          <c:order val="1"/>
          <c:tx>
            <c:strRef>
              <c:f>Budget!C10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Budget!$A$11:$A$23</c:f>
              <c:strCache>
                <c:ptCount val="13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Phone / Internet</c:v>
                </c:pt>
                <c:pt idx="6">
                  <c:v>Dining out</c:v>
                </c:pt>
                <c:pt idx="7">
                  <c:v>Entertainment</c:v>
                </c:pt>
                <c:pt idx="8">
                  <c:v>Subscriptions</c:v>
                </c:pt>
                <c:pt idx="9">
                  <c:v>Health</c:v>
                </c:pt>
                <c:pt idx="10">
                  <c:v>Savings</c:v>
                </c:pt>
                <c:pt idx="11">
                  <c:v>Debt payments</c:v>
                </c:pt>
                <c:pt idx="12">
                  <c:v>Other</c:v>
                </c:pt>
              </c:strCache>
            </c:strRef>
          </c:cat>
          <c:val>
            <c:numRef>
              <c:f>Budget!$C$11:$C$23</c:f>
              <c:numCache>
                <c:formatCode>\$#,##0.00;"($"#,##0.00\);\-</c:formatCode>
                <c:ptCount val="13"/>
                <c:pt idx="0">
                  <c:v>1200</c:v>
                </c:pt>
                <c:pt idx="1">
                  <c:v>162</c:v>
                </c:pt>
                <c:pt idx="2">
                  <c:v>445</c:v>
                </c:pt>
                <c:pt idx="3">
                  <c:v>130</c:v>
                </c:pt>
                <c:pt idx="4">
                  <c:v>120</c:v>
                </c:pt>
                <c:pt idx="5">
                  <c:v>90</c:v>
                </c:pt>
                <c:pt idx="6">
                  <c:v>210</c:v>
                </c:pt>
                <c:pt idx="7">
                  <c:v>85</c:v>
                </c:pt>
                <c:pt idx="8">
                  <c:v>45</c:v>
                </c:pt>
                <c:pt idx="9">
                  <c:v>30</c:v>
                </c:pt>
                <c:pt idx="10">
                  <c:v>400</c:v>
                </c:pt>
                <c:pt idx="11">
                  <c:v>200</c:v>
                </c:pt>
                <c:pt idx="12">
                  <c:v>60</c:v>
                </c:pt>
              </c:numCache>
            </c:numRef>
          </c:val>
        </c:ser>
        <c:gapWidth val="150"/>
        <c:overlap val="0"/>
        <c:axId val="68447583"/>
        <c:axId val="46241685"/>
      </c:barChart>
      <c:catAx>
        <c:axId val="6844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41685"/>
        <c:crosses val="autoZero"/>
        <c:auto val="1"/>
        <c:lblAlgn val="ctr"/>
        <c:lblOffset val="100"/>
        <c:noMultiLvlLbl val="0"/>
      </c:catAx>
      <c:valAx>
        <c:axId val="46241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47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364680</xdr:colOff>
      <xdr:row>23</xdr:row>
      <xdr:rowOff>90000</xdr:rowOff>
    </xdr:to>
    <xdr:graphicFrame>
      <xdr:nvGraphicFramePr>
        <xdr:cNvPr id="0" name="Chart 1"/>
        <xdr:cNvGraphicFramePr/>
      </xdr:nvGraphicFramePr>
      <xdr:xfrm>
        <a:off x="639144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v>3500</v>
      </c>
      <c r="C5" s="6" t="n">
        <v>3500</v>
      </c>
      <c r="D5" s="7" t="n">
        <f aca="false">C5-B5</f>
        <v>0</v>
      </c>
    </row>
    <row r="6" customFormat="false" ht="15" hidden="false" customHeight="false" outlineLevel="0" collapsed="false">
      <c r="A6" s="5" t="s">
        <v>7</v>
      </c>
      <c r="B6" s="6" t="n">
        <v>300</v>
      </c>
      <c r="C6" s="6" t="n">
        <v>250</v>
      </c>
      <c r="D6" s="7" t="n">
        <f aca="false">C6-B6</f>
        <v>-50</v>
      </c>
    </row>
    <row r="7" customFormat="false" ht="15" hidden="false" customHeight="false" outlineLevel="0" collapsed="false">
      <c r="A7" s="5" t="s">
        <v>8</v>
      </c>
      <c r="B7" s="6" t="n">
        <v>0</v>
      </c>
      <c r="C7" s="6" t="n">
        <v>0</v>
      </c>
      <c r="D7" s="7" t="n">
        <f aca="false">C7-B7</f>
        <v>0</v>
      </c>
    </row>
    <row r="8" customFormat="false" ht="15" hidden="false" customHeight="false" outlineLevel="0" collapsed="false">
      <c r="A8" s="8" t="s">
        <v>9</v>
      </c>
      <c r="B8" s="9" t="n">
        <f aca="false">SUM(B5:B7)</f>
        <v>3800</v>
      </c>
      <c r="C8" s="9" t="n">
        <f aca="false">SUM(C5:C7)</f>
        <v>3750</v>
      </c>
      <c r="D8" s="9" t="n">
        <f aca="false">SUM(D5:D7)</f>
        <v>-50</v>
      </c>
    </row>
    <row r="10" customFormat="false" ht="15" hidden="false" customHeight="false" outlineLevel="0" collapsed="false">
      <c r="A10" s="3" t="s">
        <v>10</v>
      </c>
      <c r="B10" s="4" t="s">
        <v>3</v>
      </c>
      <c r="C10" s="4" t="s">
        <v>4</v>
      </c>
      <c r="D10" s="4" t="s">
        <v>5</v>
      </c>
    </row>
    <row r="11" customFormat="false" ht="15" hidden="false" customHeight="false" outlineLevel="0" collapsed="false">
      <c r="A11" s="5" t="s">
        <v>11</v>
      </c>
      <c r="B11" s="6" t="n">
        <v>1200</v>
      </c>
      <c r="C11" s="6" t="n">
        <v>1200</v>
      </c>
      <c r="D11" s="7" t="n">
        <f aca="false">B11-C11</f>
        <v>0</v>
      </c>
    </row>
    <row r="12" customFormat="false" ht="15" hidden="false" customHeight="false" outlineLevel="0" collapsed="false">
      <c r="A12" s="5" t="s">
        <v>12</v>
      </c>
      <c r="B12" s="6" t="n">
        <v>150</v>
      </c>
      <c r="C12" s="6" t="n">
        <v>162</v>
      </c>
      <c r="D12" s="7" t="n">
        <f aca="false">B12-C12</f>
        <v>-12</v>
      </c>
    </row>
    <row r="13" customFormat="false" ht="15" hidden="false" customHeight="false" outlineLevel="0" collapsed="false">
      <c r="A13" s="5" t="s">
        <v>13</v>
      </c>
      <c r="B13" s="6" t="n">
        <v>400</v>
      </c>
      <c r="C13" s="6" t="n">
        <v>445</v>
      </c>
      <c r="D13" s="7" t="n">
        <f aca="false">B13-C13</f>
        <v>-45</v>
      </c>
    </row>
    <row r="14" customFormat="false" ht="15" hidden="false" customHeight="false" outlineLevel="0" collapsed="false">
      <c r="A14" s="5" t="s">
        <v>14</v>
      </c>
      <c r="B14" s="6" t="n">
        <v>150</v>
      </c>
      <c r="C14" s="6" t="n">
        <v>130</v>
      </c>
      <c r="D14" s="7" t="n">
        <f aca="false">B14-C14</f>
        <v>20</v>
      </c>
    </row>
    <row r="15" customFormat="false" ht="15" hidden="false" customHeight="false" outlineLevel="0" collapsed="false">
      <c r="A15" s="5" t="s">
        <v>15</v>
      </c>
      <c r="B15" s="6" t="n">
        <v>120</v>
      </c>
      <c r="C15" s="6" t="n">
        <v>120</v>
      </c>
      <c r="D15" s="7" t="n">
        <f aca="false">B15-C15</f>
        <v>0</v>
      </c>
    </row>
    <row r="16" customFormat="false" ht="15" hidden="false" customHeight="false" outlineLevel="0" collapsed="false">
      <c r="A16" s="5" t="s">
        <v>16</v>
      </c>
      <c r="B16" s="6" t="n">
        <v>90</v>
      </c>
      <c r="C16" s="6" t="n">
        <v>90</v>
      </c>
      <c r="D16" s="7" t="n">
        <f aca="false">B16-C16</f>
        <v>0</v>
      </c>
    </row>
    <row r="17" customFormat="false" ht="15" hidden="false" customHeight="false" outlineLevel="0" collapsed="false">
      <c r="A17" s="5" t="s">
        <v>17</v>
      </c>
      <c r="B17" s="6" t="n">
        <v>150</v>
      </c>
      <c r="C17" s="6" t="n">
        <v>210</v>
      </c>
      <c r="D17" s="7" t="n">
        <f aca="false">B17-C17</f>
        <v>-60</v>
      </c>
    </row>
    <row r="18" customFormat="false" ht="15" hidden="false" customHeight="false" outlineLevel="0" collapsed="false">
      <c r="A18" s="5" t="s">
        <v>18</v>
      </c>
      <c r="B18" s="6" t="n">
        <v>100</v>
      </c>
      <c r="C18" s="6" t="n">
        <v>85</v>
      </c>
      <c r="D18" s="7" t="n">
        <f aca="false">B18-C18</f>
        <v>15</v>
      </c>
    </row>
    <row r="19" customFormat="false" ht="15" hidden="false" customHeight="false" outlineLevel="0" collapsed="false">
      <c r="A19" s="5" t="s">
        <v>19</v>
      </c>
      <c r="B19" s="6" t="n">
        <v>40</v>
      </c>
      <c r="C19" s="6" t="n">
        <v>45</v>
      </c>
      <c r="D19" s="7" t="n">
        <f aca="false">B19-C19</f>
        <v>-5</v>
      </c>
    </row>
    <row r="20" customFormat="false" ht="15" hidden="false" customHeight="false" outlineLevel="0" collapsed="false">
      <c r="A20" s="5" t="s">
        <v>20</v>
      </c>
      <c r="B20" s="6" t="n">
        <v>60</v>
      </c>
      <c r="C20" s="6" t="n">
        <v>30</v>
      </c>
      <c r="D20" s="7" t="n">
        <f aca="false">B20-C20</f>
        <v>30</v>
      </c>
    </row>
    <row r="21" customFormat="false" ht="15" hidden="false" customHeight="false" outlineLevel="0" collapsed="false">
      <c r="A21" s="5" t="s">
        <v>21</v>
      </c>
      <c r="B21" s="6" t="n">
        <v>400</v>
      </c>
      <c r="C21" s="6" t="n">
        <v>400</v>
      </c>
      <c r="D21" s="7" t="n">
        <f aca="false">B21-C21</f>
        <v>0</v>
      </c>
    </row>
    <row r="22" customFormat="false" ht="15" hidden="false" customHeight="false" outlineLevel="0" collapsed="false">
      <c r="A22" s="5" t="s">
        <v>22</v>
      </c>
      <c r="B22" s="6" t="n">
        <v>200</v>
      </c>
      <c r="C22" s="6" t="n">
        <v>200</v>
      </c>
      <c r="D22" s="7" t="n">
        <f aca="false">B22-C22</f>
        <v>0</v>
      </c>
    </row>
    <row r="23" customFormat="false" ht="15" hidden="false" customHeight="false" outlineLevel="0" collapsed="false">
      <c r="A23" s="5" t="s">
        <v>8</v>
      </c>
      <c r="B23" s="6" t="n">
        <v>100</v>
      </c>
      <c r="C23" s="6" t="n">
        <v>60</v>
      </c>
      <c r="D23" s="7" t="n">
        <f aca="false">B23-C23</f>
        <v>40</v>
      </c>
    </row>
    <row r="24" customFormat="false" ht="15" hidden="false" customHeight="false" outlineLevel="0" collapsed="false">
      <c r="A24" s="8" t="s">
        <v>23</v>
      </c>
      <c r="B24" s="9" t="n">
        <f aca="false">SUM(B11:B23)</f>
        <v>3160</v>
      </c>
      <c r="C24" s="9" t="n">
        <f aca="false">SUM(C11:C23)</f>
        <v>3177</v>
      </c>
      <c r="D24" s="9" t="n">
        <f aca="false">SUM(D11:D23)</f>
        <v>-17</v>
      </c>
    </row>
    <row r="26" customFormat="false" ht="15" hidden="false" customHeight="false" outlineLevel="0" collapsed="false">
      <c r="A26" s="8" t="s">
        <v>24</v>
      </c>
      <c r="B26" s="9" t="n">
        <f aca="false">B8-B24</f>
        <v>640</v>
      </c>
      <c r="C26" s="9" t="n">
        <f aca="false">C8-C24</f>
        <v>573</v>
      </c>
      <c r="D26" s="9" t="n">
        <f aca="false">C26-B26</f>
        <v>-67</v>
      </c>
    </row>
    <row r="27" customFormat="false" ht="15" hidden="false" customHeight="false" outlineLevel="0" collapsed="false">
      <c r="A27" s="5" t="s">
        <v>25</v>
      </c>
      <c r="C27" s="10" t="n">
        <f aca="false">IF(C8=0,0,C26/C8)</f>
        <v>0.1528</v>
      </c>
    </row>
    <row r="28" customFormat="false" ht="15" hidden="false" customHeight="false" outlineLevel="0" collapsed="false">
      <c r="A28" s="5" t="s">
        <v>26</v>
      </c>
      <c r="C28" s="11" t="str">
        <f aca="false">IF(C26&gt;=0,"On track","Over budget")</f>
        <v>On track</v>
      </c>
    </row>
    <row r="30" customFormat="false" ht="15" hidden="false" customHeight="false" outlineLevel="0" collapsed="false">
      <c r="A30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2026-10-25T18:55:11Z</dcterms:created>
  <dc:creator>openpyxl</dc:creator>
  <dc:description/>
  <dc:language>en-US</dc:language>
  <cp:lastModifiedBy/>
  <dcterms:modified xsi:type="dcterms:W3CDTF">2026-10-25T18:55:15Z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